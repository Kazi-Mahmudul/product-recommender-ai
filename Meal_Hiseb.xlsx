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u\Downloads\"/>
    </mc:Choice>
  </mc:AlternateContent>
  <xr:revisionPtr revIDLastSave="0" documentId="13_ncr:1_{EB0BD2E6-7F4F-4F6F-81BA-117FDA9B9C2D}" xr6:coauthVersionLast="47" xr6:coauthVersionMax="47" xr10:uidLastSave="{00000000-0000-0000-0000-000000000000}"/>
  <bookViews>
    <workbookView xWindow="-120" yWindow="-120" windowWidth="29040" windowHeight="15990" activeTab="1" xr2:uid="{8DDFDB44-5306-4782-972B-531025CB2B4B}"/>
  </bookViews>
  <sheets>
    <sheet name="Name_wise" sheetId="1" r:id="rId1"/>
    <sheet name="Date_W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3" i="1"/>
  <c r="P3" i="1"/>
  <c r="D9" i="2"/>
  <c r="D10" i="2"/>
  <c r="D11" i="2"/>
  <c r="D12" i="2"/>
  <c r="D13" i="2"/>
  <c r="D14" i="2"/>
  <c r="D15" i="2"/>
  <c r="D24" i="2"/>
  <c r="D25" i="2"/>
  <c r="D26" i="2"/>
  <c r="D27" i="2"/>
  <c r="L8" i="1"/>
  <c r="M4" i="1"/>
  <c r="D31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3" i="1"/>
  <c r="D30" i="2"/>
  <c r="D29" i="2"/>
  <c r="D28" i="2"/>
  <c r="G4" i="1"/>
  <c r="L4" i="1" s="1"/>
  <c r="G5" i="1"/>
  <c r="L5" i="1" s="1"/>
  <c r="G6" i="1"/>
  <c r="G7" i="1"/>
  <c r="L7" i="1" s="1"/>
  <c r="G8" i="1"/>
  <c r="G9" i="1"/>
  <c r="L9" i="1" s="1"/>
  <c r="G10" i="1"/>
  <c r="L10" i="1" s="1"/>
  <c r="G11" i="1"/>
  <c r="G12" i="1"/>
  <c r="L12" i="1" s="1"/>
  <c r="G13" i="1"/>
  <c r="L13" i="1" s="1"/>
  <c r="G14" i="1"/>
  <c r="L14" i="1" s="1"/>
  <c r="G15" i="1"/>
  <c r="L15" i="1" s="1"/>
  <c r="G16" i="1"/>
  <c r="L16" i="1" s="1"/>
  <c r="G17" i="1"/>
  <c r="L17" i="1" s="1"/>
  <c r="G18" i="1"/>
  <c r="G19" i="1"/>
  <c r="L19" i="1" s="1"/>
  <c r="G20" i="1"/>
  <c r="L20" i="1" s="1"/>
  <c r="G21" i="1"/>
  <c r="L21" i="1" s="1"/>
  <c r="G22" i="1"/>
  <c r="L22" i="1" s="1"/>
  <c r="G23" i="1"/>
  <c r="L23" i="1" s="1"/>
  <c r="G24" i="1"/>
  <c r="G25" i="1"/>
  <c r="L25" i="1" s="1"/>
  <c r="G3" i="1"/>
  <c r="L3" i="1" s="1"/>
  <c r="E33" i="2"/>
  <c r="B2" i="2"/>
  <c r="B33" i="2" s="1"/>
  <c r="D3" i="2"/>
  <c r="D4" i="2"/>
  <c r="D5" i="2"/>
  <c r="D6" i="2"/>
  <c r="D7" i="2"/>
  <c r="D8" i="2"/>
  <c r="D16" i="2"/>
  <c r="D18" i="2"/>
  <c r="D19" i="2"/>
  <c r="D20" i="2"/>
  <c r="D21" i="2"/>
  <c r="D22" i="2"/>
  <c r="D23" i="2"/>
  <c r="M5" i="1"/>
  <c r="M6" i="1"/>
  <c r="M7" i="1"/>
  <c r="M8" i="1"/>
  <c r="M9" i="1"/>
  <c r="M26" i="1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3" i="1"/>
  <c r="N3" i="1" s="1"/>
  <c r="L18" i="1" l="1"/>
  <c r="L6" i="1"/>
  <c r="L24" i="1"/>
  <c r="L11" i="1"/>
  <c r="D2" i="2"/>
  <c r="D33" i="2"/>
  <c r="G26" i="1"/>
  <c r="G2" i="2"/>
  <c r="N5" i="1" l="1"/>
  <c r="O5" i="1" s="1"/>
  <c r="P5" i="1" s="1"/>
  <c r="N17" i="1"/>
  <c r="O17" i="1" s="1"/>
  <c r="P17" i="1" s="1"/>
  <c r="N6" i="1"/>
  <c r="O6" i="1" s="1"/>
  <c r="P6" i="1" s="1"/>
  <c r="N18" i="1"/>
  <c r="O18" i="1" s="1"/>
  <c r="P18" i="1" s="1"/>
  <c r="N7" i="1"/>
  <c r="O7" i="1" s="1"/>
  <c r="P7" i="1" s="1"/>
  <c r="N19" i="1"/>
  <c r="O19" i="1" s="1"/>
  <c r="P19" i="1" s="1"/>
  <c r="N20" i="1"/>
  <c r="O20" i="1" s="1"/>
  <c r="P20" i="1" s="1"/>
  <c r="N16" i="1"/>
  <c r="O16" i="1" s="1"/>
  <c r="P16" i="1" s="1"/>
  <c r="N8" i="1"/>
  <c r="O8" i="1" s="1"/>
  <c r="P8" i="1" s="1"/>
  <c r="N9" i="1"/>
  <c r="O9" i="1" s="1"/>
  <c r="P9" i="1" s="1"/>
  <c r="N21" i="1"/>
  <c r="O21" i="1" s="1"/>
  <c r="P21" i="1" s="1"/>
  <c r="N10" i="1"/>
  <c r="O10" i="1" s="1"/>
  <c r="P10" i="1" s="1"/>
  <c r="N22" i="1"/>
  <c r="O22" i="1" s="1"/>
  <c r="P22" i="1" s="1"/>
  <c r="N15" i="1"/>
  <c r="O15" i="1" s="1"/>
  <c r="P15" i="1" s="1"/>
  <c r="N11" i="1"/>
  <c r="O11" i="1" s="1"/>
  <c r="P11" i="1" s="1"/>
  <c r="N23" i="1"/>
  <c r="O23" i="1" s="1"/>
  <c r="P23" i="1" s="1"/>
  <c r="N12" i="1"/>
  <c r="O12" i="1" s="1"/>
  <c r="P12" i="1" s="1"/>
  <c r="N24" i="1"/>
  <c r="O24" i="1" s="1"/>
  <c r="P24" i="1" s="1"/>
  <c r="O3" i="1"/>
  <c r="N13" i="1"/>
  <c r="O13" i="1" s="1"/>
  <c r="P13" i="1" s="1"/>
  <c r="N25" i="1"/>
  <c r="O25" i="1" s="1"/>
  <c r="P25" i="1" s="1"/>
  <c r="N14" i="1"/>
  <c r="O14" i="1" s="1"/>
  <c r="P14" i="1" s="1"/>
  <c r="N4" i="1"/>
  <c r="O4" i="1" s="1"/>
  <c r="P4" i="1" s="1"/>
  <c r="H2" i="2"/>
</calcChain>
</file>

<file path=xl/sharedStrings.xml><?xml version="1.0" encoding="utf-8"?>
<sst xmlns="http://schemas.openxmlformats.org/spreadsheetml/2006/main" count="46" uniqueCount="44">
  <si>
    <t>Name</t>
  </si>
  <si>
    <t>Shafi</t>
  </si>
  <si>
    <t>Motiur</t>
  </si>
  <si>
    <t>Najmul</t>
  </si>
  <si>
    <t>Mamun</t>
  </si>
  <si>
    <t>Mahfuz</t>
  </si>
  <si>
    <t>Nasim</t>
  </si>
  <si>
    <t>Elias</t>
  </si>
  <si>
    <t>Istiak</t>
  </si>
  <si>
    <t>Mehedi</t>
  </si>
  <si>
    <t>Shahin</t>
  </si>
  <si>
    <t>Shihab</t>
  </si>
  <si>
    <t>Manik</t>
  </si>
  <si>
    <t>Naim</t>
  </si>
  <si>
    <t>Delowar</t>
  </si>
  <si>
    <t>Siam</t>
  </si>
  <si>
    <t>Konok</t>
  </si>
  <si>
    <t>Khorshed</t>
  </si>
  <si>
    <t>Robin</t>
  </si>
  <si>
    <t>Sabbir</t>
  </si>
  <si>
    <t>Tanvir</t>
  </si>
  <si>
    <t>Mohidul</t>
  </si>
  <si>
    <t>Sadid</t>
  </si>
  <si>
    <t>Parvej</t>
  </si>
  <si>
    <t>Money_Collected</t>
  </si>
  <si>
    <t>Total_Money_Given</t>
  </si>
  <si>
    <t>Money</t>
  </si>
  <si>
    <t>Total Meal</t>
  </si>
  <si>
    <t>Remaining_Money</t>
  </si>
  <si>
    <t>Total</t>
  </si>
  <si>
    <t>Name wise Meal Calculation</t>
  </si>
  <si>
    <t>Total Money</t>
  </si>
  <si>
    <t>Date</t>
  </si>
  <si>
    <t>Expense</t>
  </si>
  <si>
    <t>Meal</t>
  </si>
  <si>
    <t>Meal Rate</t>
  </si>
  <si>
    <t>Total_Expense</t>
  </si>
  <si>
    <t>Remaining_Balance</t>
  </si>
  <si>
    <t>Total_Cost</t>
  </si>
  <si>
    <t>Electricity_Bill</t>
  </si>
  <si>
    <t>ID</t>
  </si>
  <si>
    <t>Khala_Bill</t>
  </si>
  <si>
    <t>Sweet</t>
  </si>
  <si>
    <t>Paper_Bill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</si>
</sst>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0.0"/>
    <numFmt numFmtId="166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164" fontId="1" fillId="2" borderId="0" xfId="0" applyNumberFormat="1" applyFon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166" fontId="1" fillId="2" borderId="0" xfId="0" applyNumberFormat="1" applyFont="1" applyFill="1"/>
    <xf numFmtId="166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597F-A149-4810-9F78-440C2154926A}">
  <dimension ref="A1:AW27"/>
  <sheetViews>
    <sheetView workbookViewId="0">
      <selection activeCell="P29" sqref="P29"/>
    </sheetView>
  </sheetViews>
  <sheetFormatPr defaultRowHeight="15" x14ac:dyDescent="0.25"/>
  <cols>
    <col min="1" max="1" width="9.140625" style="1"/>
    <col min="2" max="2" width="9.140625" style="5"/>
    <col min="3" max="3" width="15.85546875" style="1" bestFit="1" customWidth="1"/>
    <col min="4" max="4" width="9.140625" style="1"/>
    <col min="5" max="5" width="11.85546875" style="1" bestFit="1" customWidth="1"/>
    <col min="6" max="6" width="11.85546875" style="1" customWidth="1"/>
    <col min="7" max="7" width="18" style="1" bestFit="1" customWidth="1"/>
    <col min="8" max="8" width="20.28515625" style="1" bestFit="1" customWidth="1"/>
    <col min="9" max="11" width="20.28515625" style="1" customWidth="1"/>
    <col min="12" max="12" width="9.7109375" style="1" customWidth="1"/>
    <col min="13" max="13" width="10.140625" style="1" bestFit="1" customWidth="1"/>
    <col min="14" max="14" width="13.28515625" style="1" customWidth="1"/>
    <col min="15" max="15" width="17.7109375" style="1" bestFit="1" customWidth="1"/>
    <col min="16" max="17" width="17.7109375" style="1" customWidth="1"/>
    <col min="18" max="26" width="6.28515625" bestFit="1" customWidth="1"/>
    <col min="27" max="40" width="7.28515625" bestFit="1" customWidth="1"/>
  </cols>
  <sheetData>
    <row r="1" spans="1:49" ht="29.25" thickBot="1" x14ac:dyDescent="0.5">
      <c r="H1" s="19" t="s">
        <v>30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49" ht="15.75" thickBot="1" x14ac:dyDescent="0.3">
      <c r="A2" s="15" t="s">
        <v>40</v>
      </c>
      <c r="B2" s="14" t="s">
        <v>0</v>
      </c>
      <c r="C2" s="20" t="s">
        <v>24</v>
      </c>
      <c r="D2" s="21"/>
      <c r="E2" s="21"/>
      <c r="F2" s="22"/>
      <c r="G2" s="11" t="s">
        <v>25</v>
      </c>
      <c r="H2" s="11" t="s">
        <v>41</v>
      </c>
      <c r="I2" s="11" t="s">
        <v>39</v>
      </c>
      <c r="J2" s="11" t="s">
        <v>42</v>
      </c>
      <c r="K2" s="11" t="s">
        <v>43</v>
      </c>
      <c r="L2" s="11" t="s">
        <v>26</v>
      </c>
      <c r="M2" s="11" t="s">
        <v>27</v>
      </c>
      <c r="N2" s="11" t="s">
        <v>38</v>
      </c>
      <c r="O2" s="11" t="s">
        <v>28</v>
      </c>
      <c r="P2" s="23"/>
      <c r="Q2" s="23"/>
      <c r="R2" s="9">
        <v>45597</v>
      </c>
      <c r="S2" s="9">
        <v>45598</v>
      </c>
      <c r="T2" s="9">
        <v>45599</v>
      </c>
      <c r="U2" s="9">
        <v>45600</v>
      </c>
      <c r="V2" s="9">
        <v>45601</v>
      </c>
      <c r="W2" s="9">
        <v>45602</v>
      </c>
      <c r="X2" s="9">
        <v>45603</v>
      </c>
      <c r="Y2" s="9">
        <v>45604</v>
      </c>
      <c r="Z2" s="9">
        <v>45605</v>
      </c>
      <c r="AA2" s="9">
        <v>45606</v>
      </c>
      <c r="AB2" s="9">
        <v>45607</v>
      </c>
      <c r="AC2" s="9">
        <v>45608</v>
      </c>
      <c r="AD2" s="9">
        <v>45609</v>
      </c>
      <c r="AE2" s="9">
        <v>45610</v>
      </c>
      <c r="AF2" s="9">
        <v>45611</v>
      </c>
      <c r="AG2" s="9">
        <v>45612</v>
      </c>
      <c r="AH2" s="9">
        <v>45613</v>
      </c>
      <c r="AI2" s="9">
        <v>45614</v>
      </c>
      <c r="AJ2" s="9">
        <v>45615</v>
      </c>
      <c r="AK2" s="9">
        <v>45616</v>
      </c>
      <c r="AL2" s="9">
        <v>45617</v>
      </c>
      <c r="AM2" s="9">
        <v>45618</v>
      </c>
      <c r="AN2" s="9">
        <v>45619</v>
      </c>
      <c r="AO2" s="9">
        <v>45620</v>
      </c>
      <c r="AP2" s="9">
        <v>45621</v>
      </c>
      <c r="AQ2" s="9">
        <v>45622</v>
      </c>
      <c r="AR2" s="9">
        <v>45623</v>
      </c>
      <c r="AS2" s="9">
        <v>45624</v>
      </c>
      <c r="AT2" s="9">
        <v>45625</v>
      </c>
      <c r="AU2" s="10">
        <v>45626</v>
      </c>
      <c r="AV2" s="2"/>
      <c r="AW2" s="2"/>
    </row>
    <row r="3" spans="1:49" x14ac:dyDescent="0.25">
      <c r="A3" s="1">
        <v>1</v>
      </c>
      <c r="B3" s="5" t="s">
        <v>23</v>
      </c>
      <c r="C3" s="1">
        <v>1000</v>
      </c>
      <c r="D3" s="1">
        <v>500</v>
      </c>
      <c r="E3" s="1">
        <v>400</v>
      </c>
      <c r="G3" s="1">
        <f>SUM(C3:F3)</f>
        <v>1900</v>
      </c>
      <c r="H3" s="1">
        <v>200</v>
      </c>
      <c r="I3" s="16">
        <f>Date_Wise!$E$33/23</f>
        <v>186.95652173913044</v>
      </c>
      <c r="J3" s="16">
        <v>13</v>
      </c>
      <c r="K3" s="16">
        <v>15.652173913043478</v>
      </c>
      <c r="L3" s="16">
        <f>G3-(H3+I3+J3+K3)</f>
        <v>1484.391304347826</v>
      </c>
      <c r="M3" s="1">
        <f t="shared" ref="M3:M25" si="0">SUM(R3:AU3)</f>
        <v>27.5</v>
      </c>
      <c r="N3" s="18">
        <f>M3*Date_Wise!D$33</f>
        <v>1345.0036023054756</v>
      </c>
      <c r="O3" s="18">
        <f>L3-N3</f>
        <v>139.38770204235038</v>
      </c>
      <c r="P3" s="18">
        <f>IF(O3&gt;0, O3," ")</f>
        <v>139.38770204235038</v>
      </c>
      <c r="Q3" s="18" t="str">
        <f>IF(O3&lt;0, O3," ")</f>
        <v xml:space="preserve"> </v>
      </c>
      <c r="T3">
        <v>1.5</v>
      </c>
      <c r="U3">
        <v>1.5</v>
      </c>
      <c r="V3">
        <v>1.5</v>
      </c>
      <c r="W3">
        <v>1.5</v>
      </c>
      <c r="X3">
        <v>1.5</v>
      </c>
      <c r="Y3">
        <v>2.5</v>
      </c>
      <c r="Z3">
        <v>1.5</v>
      </c>
      <c r="AA3">
        <v>1.5</v>
      </c>
      <c r="AB3">
        <v>1.5</v>
      </c>
      <c r="AC3">
        <v>1.5</v>
      </c>
      <c r="AD3">
        <v>1.5</v>
      </c>
      <c r="AH3">
        <v>1</v>
      </c>
      <c r="AI3">
        <v>1</v>
      </c>
      <c r="AJ3">
        <v>1</v>
      </c>
      <c r="AK3">
        <v>1</v>
      </c>
      <c r="AO3">
        <v>1</v>
      </c>
      <c r="AP3">
        <v>1</v>
      </c>
      <c r="AR3">
        <v>1</v>
      </c>
      <c r="AS3">
        <v>1</v>
      </c>
      <c r="AT3">
        <v>1</v>
      </c>
      <c r="AU3">
        <v>1</v>
      </c>
    </row>
    <row r="4" spans="1:49" x14ac:dyDescent="0.25">
      <c r="A4" s="1">
        <v>2</v>
      </c>
      <c r="B4" s="5" t="s">
        <v>1</v>
      </c>
      <c r="C4" s="1">
        <v>500</v>
      </c>
      <c r="D4" s="1">
        <v>1000</v>
      </c>
      <c r="G4" s="1">
        <f t="shared" ref="G4:G25" si="1">SUM(C4:F4)</f>
        <v>1500</v>
      </c>
      <c r="H4" s="1">
        <v>200</v>
      </c>
      <c r="I4" s="16">
        <f>Date_Wise!$E$33/23</f>
        <v>186.95652173913044</v>
      </c>
      <c r="J4" s="16">
        <v>13</v>
      </c>
      <c r="K4" s="16">
        <v>15.652173913043478</v>
      </c>
      <c r="L4" s="16">
        <f t="shared" ref="L4:L25" si="2">G4-(H4+I4+J4+K4)</f>
        <v>1084.391304347826</v>
      </c>
      <c r="M4" s="1">
        <f>SUM(R4:AU4)-10</f>
        <v>46.5</v>
      </c>
      <c r="N4" s="18">
        <f>M4*Date_Wise!D$33</f>
        <v>2274.2788184438041</v>
      </c>
      <c r="O4" s="18">
        <f>L4-N4</f>
        <v>-1189.8875140959781</v>
      </c>
      <c r="P4" s="18" t="str">
        <f t="shared" ref="P4:P25" si="3">IF(O4&gt;0, O4," ")</f>
        <v xml:space="preserve"> </v>
      </c>
      <c r="Q4" s="18">
        <f t="shared" ref="Q4:Q25" si="4">IF(O4&lt;0, O4," ")</f>
        <v>-1189.8875140959781</v>
      </c>
      <c r="R4">
        <v>2</v>
      </c>
      <c r="S4">
        <v>2</v>
      </c>
      <c r="T4">
        <v>2</v>
      </c>
      <c r="U4">
        <v>2</v>
      </c>
      <c r="V4">
        <v>2</v>
      </c>
      <c r="W4">
        <v>3</v>
      </c>
      <c r="X4">
        <v>2</v>
      </c>
      <c r="Y4">
        <v>2.5</v>
      </c>
      <c r="Z4">
        <v>2</v>
      </c>
      <c r="AA4">
        <v>2</v>
      </c>
      <c r="AB4">
        <v>2</v>
      </c>
      <c r="AC4">
        <v>2</v>
      </c>
      <c r="AD4">
        <v>2</v>
      </c>
      <c r="AE4">
        <v>1</v>
      </c>
      <c r="AF4">
        <v>1</v>
      </c>
      <c r="AH4">
        <v>2</v>
      </c>
      <c r="AI4">
        <v>2</v>
      </c>
      <c r="AJ4">
        <v>2</v>
      </c>
      <c r="AK4">
        <v>2</v>
      </c>
      <c r="AL4">
        <v>2</v>
      </c>
      <c r="AM4">
        <v>2.5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2.5</v>
      </c>
    </row>
    <row r="5" spans="1:49" x14ac:dyDescent="0.25">
      <c r="A5" s="1">
        <v>3</v>
      </c>
      <c r="B5" s="5" t="s">
        <v>2</v>
      </c>
      <c r="C5" s="1">
        <v>500</v>
      </c>
      <c r="D5" s="1">
        <v>1000</v>
      </c>
      <c r="E5" s="1">
        <v>500</v>
      </c>
      <c r="G5" s="1">
        <f t="shared" si="1"/>
        <v>2000</v>
      </c>
      <c r="H5" s="1">
        <v>200</v>
      </c>
      <c r="I5" s="16">
        <f>Date_Wise!$E$33/23</f>
        <v>186.95652173913044</v>
      </c>
      <c r="J5" s="16">
        <v>13</v>
      </c>
      <c r="K5" s="16">
        <v>15.652173913043478</v>
      </c>
      <c r="L5" s="16">
        <f t="shared" si="2"/>
        <v>1584.391304347826</v>
      </c>
      <c r="M5" s="1">
        <f t="shared" si="0"/>
        <v>27.5</v>
      </c>
      <c r="N5" s="18">
        <f>M5*Date_Wise!D$33</f>
        <v>1345.0036023054756</v>
      </c>
      <c r="O5" s="18">
        <f t="shared" ref="O5:O25" si="5">L5-N5</f>
        <v>239.38770204235038</v>
      </c>
      <c r="P5" s="18">
        <f t="shared" si="3"/>
        <v>239.38770204235038</v>
      </c>
      <c r="Q5" s="18" t="str">
        <f t="shared" si="4"/>
        <v xml:space="preserve"> </v>
      </c>
      <c r="R5">
        <v>2.5</v>
      </c>
      <c r="S5">
        <v>2.5</v>
      </c>
      <c r="T5">
        <v>2.5</v>
      </c>
      <c r="U5">
        <v>2.5</v>
      </c>
      <c r="V5">
        <v>2.5</v>
      </c>
      <c r="W5">
        <v>2.5</v>
      </c>
      <c r="X5">
        <v>2.5</v>
      </c>
      <c r="Y5">
        <v>2.5</v>
      </c>
      <c r="Z5">
        <v>2.5</v>
      </c>
      <c r="AA5">
        <v>2.5</v>
      </c>
      <c r="AB5">
        <v>2.5</v>
      </c>
    </row>
    <row r="6" spans="1:49" x14ac:dyDescent="0.25">
      <c r="A6" s="1">
        <v>4</v>
      </c>
      <c r="B6" s="5" t="s">
        <v>3</v>
      </c>
      <c r="C6" s="1">
        <v>2000</v>
      </c>
      <c r="D6" s="1">
        <v>500</v>
      </c>
      <c r="G6" s="1">
        <f t="shared" si="1"/>
        <v>2500</v>
      </c>
      <c r="H6" s="1">
        <v>200</v>
      </c>
      <c r="I6" s="16">
        <f>Date_Wise!$E$33/23</f>
        <v>186.95652173913044</v>
      </c>
      <c r="J6" s="16">
        <v>13</v>
      </c>
      <c r="K6" s="16">
        <v>15.652173913043478</v>
      </c>
      <c r="L6" s="16">
        <f t="shared" si="2"/>
        <v>2084.391304347826</v>
      </c>
      <c r="M6" s="1">
        <f t="shared" si="0"/>
        <v>45</v>
      </c>
      <c r="N6" s="18">
        <f>M6*Date_Wise!D$33</f>
        <v>2200.9149855907781</v>
      </c>
      <c r="O6" s="18">
        <f t="shared" si="5"/>
        <v>-116.52368124295208</v>
      </c>
      <c r="P6" s="18" t="str">
        <f t="shared" si="3"/>
        <v xml:space="preserve"> </v>
      </c>
      <c r="Q6" s="18">
        <f t="shared" si="4"/>
        <v>-116.52368124295208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2.5</v>
      </c>
      <c r="Z6">
        <v>2</v>
      </c>
      <c r="AA6">
        <v>2</v>
      </c>
      <c r="AB6">
        <v>1</v>
      </c>
      <c r="AC6">
        <v>2</v>
      </c>
      <c r="AD6">
        <v>2</v>
      </c>
      <c r="AI6">
        <v>1</v>
      </c>
      <c r="AJ6">
        <v>1</v>
      </c>
      <c r="AK6">
        <v>2</v>
      </c>
      <c r="AL6">
        <v>2</v>
      </c>
      <c r="AM6">
        <v>2.5</v>
      </c>
      <c r="AN6">
        <v>2</v>
      </c>
      <c r="AO6">
        <v>2.5</v>
      </c>
      <c r="AP6">
        <v>2.5</v>
      </c>
      <c r="AQ6">
        <v>1</v>
      </c>
      <c r="AS6">
        <v>1</v>
      </c>
      <c r="AT6">
        <v>1</v>
      </c>
      <c r="AU6">
        <v>1</v>
      </c>
    </row>
    <row r="7" spans="1:49" x14ac:dyDescent="0.25">
      <c r="A7" s="1">
        <v>5</v>
      </c>
      <c r="B7" s="5" t="s">
        <v>4</v>
      </c>
      <c r="C7" s="1">
        <v>500</v>
      </c>
      <c r="D7" s="1">
        <v>500</v>
      </c>
      <c r="G7" s="1">
        <f t="shared" si="1"/>
        <v>1000</v>
      </c>
      <c r="H7" s="1">
        <v>200</v>
      </c>
      <c r="I7" s="16">
        <f>Date_Wise!$E$33/23</f>
        <v>186.95652173913044</v>
      </c>
      <c r="J7" s="16">
        <v>13</v>
      </c>
      <c r="K7" s="16">
        <v>15.652173913043478</v>
      </c>
      <c r="L7" s="16">
        <f t="shared" si="2"/>
        <v>584.39130434782601</v>
      </c>
      <c r="M7" s="1">
        <f t="shared" si="0"/>
        <v>16</v>
      </c>
      <c r="N7" s="18">
        <f>M7*Date_Wise!D$33</f>
        <v>782.54755043227669</v>
      </c>
      <c r="O7" s="18">
        <f t="shared" si="5"/>
        <v>-198.15624608445069</v>
      </c>
      <c r="P7" s="18" t="str">
        <f t="shared" si="3"/>
        <v xml:space="preserve"> </v>
      </c>
      <c r="Q7" s="18">
        <f t="shared" si="4"/>
        <v>-198.15624608445069</v>
      </c>
      <c r="R7">
        <v>2</v>
      </c>
      <c r="S7">
        <v>2</v>
      </c>
      <c r="T7">
        <v>1</v>
      </c>
      <c r="U7">
        <v>3</v>
      </c>
      <c r="V7">
        <v>2</v>
      </c>
      <c r="W7">
        <v>2</v>
      </c>
      <c r="AQ7">
        <v>1</v>
      </c>
      <c r="AR7">
        <v>1</v>
      </c>
      <c r="AU7">
        <v>2</v>
      </c>
    </row>
    <row r="8" spans="1:49" x14ac:dyDescent="0.25">
      <c r="A8" s="1">
        <v>6</v>
      </c>
      <c r="B8" s="5" t="s">
        <v>5</v>
      </c>
      <c r="C8" s="1">
        <v>1600</v>
      </c>
      <c r="D8" s="1">
        <v>300</v>
      </c>
      <c r="G8" s="1">
        <f t="shared" si="1"/>
        <v>1900</v>
      </c>
      <c r="H8" s="1">
        <v>200</v>
      </c>
      <c r="I8" s="16">
        <f>Date_Wise!$E$33/23</f>
        <v>186.95652173913044</v>
      </c>
      <c r="J8" s="16">
        <v>13</v>
      </c>
      <c r="K8" s="16">
        <v>15.652173913043478</v>
      </c>
      <c r="L8" s="16">
        <f t="shared" si="2"/>
        <v>1484.391304347826</v>
      </c>
      <c r="M8" s="1">
        <f t="shared" si="0"/>
        <v>31</v>
      </c>
      <c r="N8" s="18">
        <f>M8*Date_Wise!D$33</f>
        <v>1516.1858789625362</v>
      </c>
      <c r="O8" s="18">
        <f t="shared" si="5"/>
        <v>-31.7945746147102</v>
      </c>
      <c r="P8" s="18" t="str">
        <f t="shared" si="3"/>
        <v xml:space="preserve"> </v>
      </c>
      <c r="Q8" s="18">
        <f t="shared" si="4"/>
        <v>-31.7945746147102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2.5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2.5</v>
      </c>
      <c r="AN8">
        <v>1</v>
      </c>
      <c r="AO8">
        <v>1</v>
      </c>
      <c r="AP8">
        <v>1</v>
      </c>
      <c r="AQ8">
        <v>1</v>
      </c>
      <c r="AR8">
        <v>1</v>
      </c>
      <c r="AT8">
        <v>1</v>
      </c>
      <c r="AU8">
        <v>1</v>
      </c>
    </row>
    <row r="9" spans="1:49" x14ac:dyDescent="0.25">
      <c r="A9" s="1">
        <v>7</v>
      </c>
      <c r="B9" s="5" t="s">
        <v>6</v>
      </c>
      <c r="C9" s="1">
        <v>300</v>
      </c>
      <c r="D9" s="1">
        <v>1500</v>
      </c>
      <c r="G9" s="1">
        <f t="shared" si="1"/>
        <v>1800</v>
      </c>
      <c r="H9" s="1">
        <v>200</v>
      </c>
      <c r="I9" s="16">
        <f>Date_Wise!$E$33/23</f>
        <v>186.95652173913044</v>
      </c>
      <c r="J9" s="16">
        <v>13</v>
      </c>
      <c r="K9" s="16">
        <v>15.652173913043478</v>
      </c>
      <c r="L9" s="16">
        <f t="shared" si="2"/>
        <v>1384.391304347826</v>
      </c>
      <c r="M9" s="1">
        <f t="shared" si="0"/>
        <v>16.5</v>
      </c>
      <c r="N9" s="18">
        <f>M9*Date_Wise!D$33</f>
        <v>807.00216138328528</v>
      </c>
      <c r="O9" s="18">
        <f t="shared" si="5"/>
        <v>577.38914296454072</v>
      </c>
      <c r="P9" s="18">
        <f t="shared" si="3"/>
        <v>577.38914296454072</v>
      </c>
      <c r="Q9" s="18" t="str">
        <f t="shared" si="4"/>
        <v xml:space="preserve"> </v>
      </c>
      <c r="T9">
        <v>1</v>
      </c>
      <c r="U9">
        <v>1</v>
      </c>
      <c r="V9">
        <v>1</v>
      </c>
      <c r="W9">
        <v>1</v>
      </c>
      <c r="X9">
        <v>1</v>
      </c>
      <c r="Y9">
        <v>2.5</v>
      </c>
      <c r="Z9">
        <v>1</v>
      </c>
      <c r="AA9">
        <v>1</v>
      </c>
      <c r="AB9">
        <v>1</v>
      </c>
      <c r="AC9">
        <v>1</v>
      </c>
      <c r="AD9">
        <v>1</v>
      </c>
      <c r="AH9">
        <v>1</v>
      </c>
      <c r="AI9">
        <v>1</v>
      </c>
      <c r="AJ9">
        <v>1</v>
      </c>
      <c r="AK9">
        <v>1</v>
      </c>
    </row>
    <row r="10" spans="1:49" x14ac:dyDescent="0.25">
      <c r="A10" s="1">
        <v>8</v>
      </c>
      <c r="B10" s="5" t="s">
        <v>7</v>
      </c>
      <c r="C10" s="1">
        <v>1500</v>
      </c>
      <c r="D10" s="1">
        <v>500</v>
      </c>
      <c r="G10" s="1">
        <f t="shared" si="1"/>
        <v>2000</v>
      </c>
      <c r="H10" s="1">
        <v>200</v>
      </c>
      <c r="I10" s="16">
        <f>Date_Wise!$E$33/23</f>
        <v>186.95652173913044</v>
      </c>
      <c r="J10" s="16">
        <v>13</v>
      </c>
      <c r="K10" s="16">
        <v>15.652173913043478</v>
      </c>
      <c r="L10" s="16">
        <f t="shared" si="2"/>
        <v>1584.391304347826</v>
      </c>
      <c r="M10" s="1">
        <f t="shared" si="0"/>
        <v>26.5</v>
      </c>
      <c r="N10" s="18">
        <f>M10*Date_Wise!D$33</f>
        <v>1296.0943804034582</v>
      </c>
      <c r="O10" s="18">
        <f t="shared" si="5"/>
        <v>288.29692394436779</v>
      </c>
      <c r="P10" s="18">
        <f t="shared" si="3"/>
        <v>288.29692394436779</v>
      </c>
      <c r="Q10" s="18" t="str">
        <f t="shared" si="4"/>
        <v xml:space="preserve"> 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2.5</v>
      </c>
      <c r="Z10">
        <v>1</v>
      </c>
      <c r="AA10">
        <v>1</v>
      </c>
      <c r="AB10">
        <v>1</v>
      </c>
      <c r="AC10">
        <v>1</v>
      </c>
      <c r="AD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</row>
    <row r="11" spans="1:49" x14ac:dyDescent="0.25">
      <c r="A11" s="1">
        <v>9</v>
      </c>
      <c r="B11" s="5" t="s">
        <v>8</v>
      </c>
      <c r="C11" s="1">
        <v>500</v>
      </c>
      <c r="D11" s="1">
        <v>1000</v>
      </c>
      <c r="G11" s="1">
        <f t="shared" si="1"/>
        <v>1500</v>
      </c>
      <c r="H11" s="1">
        <v>200</v>
      </c>
      <c r="I11" s="16">
        <f>Date_Wise!$E$33/23</f>
        <v>186.95652173913044</v>
      </c>
      <c r="J11" s="16">
        <v>13</v>
      </c>
      <c r="K11" s="16">
        <v>15.652173913043478</v>
      </c>
      <c r="L11" s="16">
        <f t="shared" si="2"/>
        <v>1084.391304347826</v>
      </c>
      <c r="M11" s="1">
        <f t="shared" si="0"/>
        <v>19</v>
      </c>
      <c r="N11" s="18">
        <f>M11*Date_Wise!D$33</f>
        <v>929.27521613832857</v>
      </c>
      <c r="O11" s="18">
        <f t="shared" si="5"/>
        <v>155.11608820949743</v>
      </c>
      <c r="P11" s="18">
        <f t="shared" si="3"/>
        <v>155.11608820949743</v>
      </c>
      <c r="Q11" s="18" t="str">
        <f t="shared" si="4"/>
        <v xml:space="preserve"> </v>
      </c>
      <c r="U11">
        <v>2.5</v>
      </c>
      <c r="V11">
        <v>1.5</v>
      </c>
      <c r="W11">
        <v>0.5</v>
      </c>
      <c r="X11">
        <v>1.5</v>
      </c>
      <c r="Y11">
        <v>2.5</v>
      </c>
      <c r="Z11">
        <v>1.5</v>
      </c>
      <c r="AA11">
        <v>1</v>
      </c>
      <c r="AB11">
        <v>1</v>
      </c>
      <c r="AK11">
        <v>1</v>
      </c>
      <c r="AL11">
        <v>1</v>
      </c>
      <c r="AR11">
        <v>2</v>
      </c>
      <c r="AS11">
        <v>1</v>
      </c>
      <c r="AT11">
        <v>1</v>
      </c>
      <c r="AU11">
        <v>1</v>
      </c>
    </row>
    <row r="12" spans="1:49" x14ac:dyDescent="0.25">
      <c r="A12" s="1">
        <v>10</v>
      </c>
      <c r="B12" s="5" t="s">
        <v>9</v>
      </c>
      <c r="C12" s="1">
        <v>3000</v>
      </c>
      <c r="G12" s="1">
        <f t="shared" si="1"/>
        <v>3000</v>
      </c>
      <c r="H12" s="1">
        <v>200</v>
      </c>
      <c r="I12" s="16">
        <f>Date_Wise!$E$33/23</f>
        <v>186.95652173913044</v>
      </c>
      <c r="J12" s="16">
        <v>13</v>
      </c>
      <c r="K12" s="16">
        <v>15.652173913043478</v>
      </c>
      <c r="L12" s="16">
        <f t="shared" si="2"/>
        <v>2584.391304347826</v>
      </c>
      <c r="M12" s="1">
        <f t="shared" si="0"/>
        <v>43.5</v>
      </c>
      <c r="N12" s="18">
        <f>M12*Date_Wise!D$33</f>
        <v>2127.5511527377521</v>
      </c>
      <c r="O12" s="18">
        <f t="shared" si="5"/>
        <v>456.84015161007392</v>
      </c>
      <c r="P12" s="18">
        <f t="shared" si="3"/>
        <v>456.84015161007392</v>
      </c>
      <c r="Q12" s="18" t="str">
        <f t="shared" si="4"/>
        <v xml:space="preserve"> </v>
      </c>
      <c r="S12">
        <v>2</v>
      </c>
      <c r="U12">
        <v>2.5</v>
      </c>
      <c r="V12">
        <v>2.5</v>
      </c>
      <c r="W12">
        <v>2.5</v>
      </c>
      <c r="X12">
        <v>2.5</v>
      </c>
      <c r="Y12">
        <v>2.5</v>
      </c>
      <c r="Z12">
        <v>2.5</v>
      </c>
      <c r="AA12">
        <v>2.5</v>
      </c>
      <c r="AB12">
        <v>2.5</v>
      </c>
      <c r="AC12">
        <v>2.5</v>
      </c>
      <c r="AD12">
        <v>1.5</v>
      </c>
      <c r="AE12">
        <v>0.5</v>
      </c>
      <c r="AH12">
        <v>2.5</v>
      </c>
      <c r="AJ12">
        <v>1</v>
      </c>
      <c r="AK12">
        <v>2.5</v>
      </c>
      <c r="AL12">
        <v>5</v>
      </c>
      <c r="AM12">
        <v>2.5</v>
      </c>
      <c r="AO12">
        <v>2.5</v>
      </c>
      <c r="AQ12">
        <v>1</v>
      </c>
    </row>
    <row r="13" spans="1:49" x14ac:dyDescent="0.25">
      <c r="A13" s="1">
        <v>11</v>
      </c>
      <c r="B13" s="5" t="s">
        <v>10</v>
      </c>
      <c r="C13" s="1">
        <v>1000</v>
      </c>
      <c r="D13" s="1">
        <v>500</v>
      </c>
      <c r="G13" s="1">
        <f t="shared" si="1"/>
        <v>1500</v>
      </c>
      <c r="H13" s="1">
        <v>200</v>
      </c>
      <c r="I13" s="16">
        <f>Date_Wise!$E$33/23</f>
        <v>186.95652173913044</v>
      </c>
      <c r="J13" s="16">
        <v>13</v>
      </c>
      <c r="K13" s="16">
        <v>15.652173913043478</v>
      </c>
      <c r="L13" s="16">
        <f t="shared" si="2"/>
        <v>1084.391304347826</v>
      </c>
      <c r="M13" s="1">
        <f t="shared" si="0"/>
        <v>26.5</v>
      </c>
      <c r="N13" s="18">
        <f>M13*Date_Wise!D$33</f>
        <v>1296.0943804034582</v>
      </c>
      <c r="O13" s="18">
        <f t="shared" si="5"/>
        <v>-211.70307605563221</v>
      </c>
      <c r="P13" s="18" t="str">
        <f t="shared" si="3"/>
        <v xml:space="preserve"> </v>
      </c>
      <c r="Q13" s="18">
        <f t="shared" si="4"/>
        <v>-211.70307605563221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2.5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H13">
        <v>1</v>
      </c>
      <c r="AI13">
        <v>1</v>
      </c>
      <c r="AJ13">
        <v>1</v>
      </c>
      <c r="AK13">
        <v>1</v>
      </c>
      <c r="AO13">
        <v>1</v>
      </c>
      <c r="AP13">
        <v>1</v>
      </c>
      <c r="AQ13">
        <v>1</v>
      </c>
      <c r="AR13">
        <v>1</v>
      </c>
      <c r="AT13">
        <v>1</v>
      </c>
      <c r="AU13">
        <v>1</v>
      </c>
    </row>
    <row r="14" spans="1:49" x14ac:dyDescent="0.25">
      <c r="A14" s="1">
        <v>12</v>
      </c>
      <c r="B14" s="5" t="s">
        <v>11</v>
      </c>
      <c r="C14" s="1">
        <v>1500</v>
      </c>
      <c r="D14" s="1">
        <v>300</v>
      </c>
      <c r="G14" s="1">
        <f t="shared" si="1"/>
        <v>1800</v>
      </c>
      <c r="H14" s="1">
        <v>200</v>
      </c>
      <c r="I14" s="16">
        <f>Date_Wise!$E$33/23</f>
        <v>186.95652173913044</v>
      </c>
      <c r="J14" s="16">
        <v>13</v>
      </c>
      <c r="K14" s="16">
        <v>15.652173913043478</v>
      </c>
      <c r="L14" s="16">
        <f t="shared" si="2"/>
        <v>1384.391304347826</v>
      </c>
      <c r="M14" s="1">
        <f t="shared" si="0"/>
        <v>12.5</v>
      </c>
      <c r="N14" s="18">
        <f>M14*Date_Wise!D$33</f>
        <v>611.36527377521611</v>
      </c>
      <c r="O14" s="18">
        <f t="shared" si="5"/>
        <v>773.0260305726099</v>
      </c>
      <c r="P14" s="18">
        <f t="shared" si="3"/>
        <v>773.0260305726099</v>
      </c>
      <c r="Q14" s="18" t="str">
        <f t="shared" si="4"/>
        <v xml:space="preserve"> </v>
      </c>
      <c r="U14">
        <v>2</v>
      </c>
      <c r="V14">
        <v>1</v>
      </c>
      <c r="AA14">
        <v>2</v>
      </c>
      <c r="AB14">
        <v>2</v>
      </c>
      <c r="AC14">
        <v>1</v>
      </c>
      <c r="AJ14">
        <v>1</v>
      </c>
      <c r="AK14">
        <v>1</v>
      </c>
      <c r="AM14">
        <v>2.5</v>
      </c>
    </row>
    <row r="15" spans="1:49" x14ac:dyDescent="0.25">
      <c r="A15" s="1">
        <v>13</v>
      </c>
      <c r="B15" s="5" t="s">
        <v>12</v>
      </c>
      <c r="C15" s="1">
        <v>500</v>
      </c>
      <c r="G15" s="1">
        <f t="shared" si="1"/>
        <v>500</v>
      </c>
      <c r="H15" s="1">
        <v>200</v>
      </c>
      <c r="I15" s="16">
        <f>Date_Wise!$E$33/23</f>
        <v>186.95652173913044</v>
      </c>
      <c r="J15" s="16">
        <v>13</v>
      </c>
      <c r="K15" s="16">
        <v>15.652173913043478</v>
      </c>
      <c r="L15" s="16">
        <f t="shared" si="2"/>
        <v>84.391304347826065</v>
      </c>
      <c r="M15" s="1">
        <f t="shared" si="0"/>
        <v>17</v>
      </c>
      <c r="N15" s="18">
        <f>M15*Date_Wise!D$33</f>
        <v>831.45677233429399</v>
      </c>
      <c r="O15" s="18">
        <f t="shared" si="5"/>
        <v>-747.06546798646787</v>
      </c>
      <c r="P15" s="18" t="str">
        <f t="shared" si="3"/>
        <v xml:space="preserve"> </v>
      </c>
      <c r="Q15" s="18">
        <f t="shared" si="4"/>
        <v>-747.06546798646787</v>
      </c>
      <c r="R15">
        <v>2.5</v>
      </c>
      <c r="S15">
        <v>2.5</v>
      </c>
      <c r="T15">
        <v>0.5</v>
      </c>
      <c r="U15">
        <v>3.5</v>
      </c>
      <c r="V15">
        <v>2.5</v>
      </c>
      <c r="W15">
        <v>0.5</v>
      </c>
      <c r="AH15">
        <v>2.5</v>
      </c>
      <c r="AI15">
        <v>1.5</v>
      </c>
      <c r="AJ15">
        <v>0.5</v>
      </c>
      <c r="AK15">
        <v>0.5</v>
      </c>
    </row>
    <row r="16" spans="1:49" x14ac:dyDescent="0.25">
      <c r="A16" s="1">
        <v>14</v>
      </c>
      <c r="B16" s="5" t="s">
        <v>13</v>
      </c>
      <c r="C16" s="1">
        <v>1500</v>
      </c>
      <c r="G16" s="1">
        <f t="shared" si="1"/>
        <v>1500</v>
      </c>
      <c r="H16" s="1">
        <v>200</v>
      </c>
      <c r="I16" s="16">
        <f>Date_Wise!$E$33/23</f>
        <v>186.95652173913044</v>
      </c>
      <c r="J16" s="16">
        <v>13</v>
      </c>
      <c r="K16" s="16">
        <v>15.652173913043478</v>
      </c>
      <c r="L16" s="16">
        <f t="shared" si="2"/>
        <v>1084.391304347826</v>
      </c>
      <c r="M16" s="1">
        <f t="shared" si="0"/>
        <v>23.5</v>
      </c>
      <c r="N16" s="18">
        <f>M16*Date_Wise!D$33</f>
        <v>1149.3667146974065</v>
      </c>
      <c r="O16" s="18">
        <f t="shared" si="5"/>
        <v>-64.975410349580443</v>
      </c>
      <c r="P16" s="18" t="str">
        <f t="shared" si="3"/>
        <v xml:space="preserve"> </v>
      </c>
      <c r="Q16" s="18">
        <f t="shared" si="4"/>
        <v>-64.975410349580443</v>
      </c>
      <c r="U16">
        <v>2</v>
      </c>
      <c r="V16">
        <v>2</v>
      </c>
      <c r="W16">
        <v>2</v>
      </c>
      <c r="X16">
        <v>2</v>
      </c>
      <c r="Y16">
        <v>2.5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4</v>
      </c>
      <c r="AR16">
        <v>1</v>
      </c>
      <c r="AS16">
        <v>1</v>
      </c>
      <c r="AT16">
        <v>1</v>
      </c>
      <c r="AU16">
        <v>1</v>
      </c>
    </row>
    <row r="17" spans="1:47" x14ac:dyDescent="0.25">
      <c r="A17" s="1">
        <v>15</v>
      </c>
      <c r="B17" s="5" t="s">
        <v>14</v>
      </c>
      <c r="C17" s="1">
        <v>1000</v>
      </c>
      <c r="D17" s="1">
        <v>700</v>
      </c>
      <c r="E17" s="1">
        <v>500</v>
      </c>
      <c r="F17" s="1">
        <v>400</v>
      </c>
      <c r="G17" s="1">
        <f t="shared" si="1"/>
        <v>2600</v>
      </c>
      <c r="H17" s="1">
        <v>200</v>
      </c>
      <c r="I17" s="16">
        <f>Date_Wise!$E$33/23</f>
        <v>186.95652173913044</v>
      </c>
      <c r="J17" s="16">
        <v>13</v>
      </c>
      <c r="K17" s="16">
        <v>15.652173913043478</v>
      </c>
      <c r="L17" s="16">
        <f t="shared" si="2"/>
        <v>2184.391304347826</v>
      </c>
      <c r="M17" s="1">
        <f t="shared" si="0"/>
        <v>43</v>
      </c>
      <c r="N17" s="18">
        <f>M17*Date_Wise!D$33</f>
        <v>2103.0965417867437</v>
      </c>
      <c r="O17" s="18">
        <f t="shared" si="5"/>
        <v>81.29476256108228</v>
      </c>
      <c r="P17" s="18">
        <f t="shared" si="3"/>
        <v>81.29476256108228</v>
      </c>
      <c r="Q17" s="18" t="str">
        <f t="shared" si="4"/>
        <v xml:space="preserve"> </v>
      </c>
      <c r="R17">
        <v>1</v>
      </c>
      <c r="S17">
        <v>2</v>
      </c>
      <c r="T17">
        <v>1</v>
      </c>
      <c r="U17">
        <v>2.5</v>
      </c>
      <c r="V17">
        <v>2.5</v>
      </c>
      <c r="W17">
        <v>2.5</v>
      </c>
      <c r="X17">
        <v>2.5</v>
      </c>
      <c r="Y17">
        <v>2.5</v>
      </c>
      <c r="Z17">
        <v>2.5</v>
      </c>
      <c r="AA17">
        <v>2.5</v>
      </c>
      <c r="AB17">
        <v>2.5</v>
      </c>
      <c r="AC17">
        <v>2.5</v>
      </c>
      <c r="AH17">
        <v>2</v>
      </c>
      <c r="AJ17">
        <v>1</v>
      </c>
      <c r="AK17">
        <v>1</v>
      </c>
      <c r="AL17">
        <v>1</v>
      </c>
      <c r="AM17">
        <v>2.5</v>
      </c>
      <c r="AN17">
        <v>1</v>
      </c>
      <c r="AO17">
        <v>1.5</v>
      </c>
      <c r="AP17">
        <v>0.5</v>
      </c>
      <c r="AQ17">
        <v>1.5</v>
      </c>
      <c r="AR17">
        <v>1.5</v>
      </c>
      <c r="AS17">
        <v>1</v>
      </c>
      <c r="AT17">
        <v>1</v>
      </c>
      <c r="AU17">
        <v>1</v>
      </c>
    </row>
    <row r="18" spans="1:47" x14ac:dyDescent="0.25">
      <c r="A18" s="1">
        <v>16</v>
      </c>
      <c r="B18" s="5" t="s">
        <v>15</v>
      </c>
      <c r="C18" s="1">
        <v>2000</v>
      </c>
      <c r="D18" s="1">
        <v>500</v>
      </c>
      <c r="G18" s="1">
        <f t="shared" si="1"/>
        <v>2500</v>
      </c>
      <c r="H18" s="1">
        <v>200</v>
      </c>
      <c r="I18" s="16">
        <f>Date_Wise!$E$33/23</f>
        <v>186.95652173913044</v>
      </c>
      <c r="J18" s="16">
        <v>13</v>
      </c>
      <c r="K18" s="16">
        <v>15.652173913043478</v>
      </c>
      <c r="L18" s="16">
        <f t="shared" si="2"/>
        <v>2084.391304347826</v>
      </c>
      <c r="M18" s="1">
        <f t="shared" si="0"/>
        <v>40</v>
      </c>
      <c r="N18" s="18">
        <f>M18*Date_Wise!D$33</f>
        <v>1956.3688760806917</v>
      </c>
      <c r="O18" s="18">
        <f t="shared" si="5"/>
        <v>128.02242826713427</v>
      </c>
      <c r="P18" s="18">
        <f t="shared" si="3"/>
        <v>128.02242826713427</v>
      </c>
      <c r="Q18" s="18" t="str">
        <f t="shared" si="4"/>
        <v xml:space="preserve"> 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2.5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</v>
      </c>
      <c r="AH18">
        <v>1.5</v>
      </c>
      <c r="AI18">
        <v>1.5</v>
      </c>
      <c r="AJ18">
        <v>1.5</v>
      </c>
      <c r="AK18">
        <v>1.5</v>
      </c>
      <c r="AP18">
        <v>1.5</v>
      </c>
      <c r="AQ18">
        <v>1.5</v>
      </c>
      <c r="AR18">
        <v>1.5</v>
      </c>
      <c r="AS18">
        <v>1.5</v>
      </c>
      <c r="AT18">
        <v>2.5</v>
      </c>
      <c r="AU18">
        <v>2.5</v>
      </c>
    </row>
    <row r="19" spans="1:47" x14ac:dyDescent="0.25">
      <c r="A19" s="1">
        <v>17</v>
      </c>
      <c r="B19" s="5" t="s">
        <v>16</v>
      </c>
      <c r="C19" s="1">
        <v>1000</v>
      </c>
      <c r="D19" s="1">
        <v>500</v>
      </c>
      <c r="E19" s="1">
        <v>700</v>
      </c>
      <c r="G19" s="1">
        <f t="shared" si="1"/>
        <v>2200</v>
      </c>
      <c r="H19" s="1">
        <v>200</v>
      </c>
      <c r="I19" s="16">
        <f>Date_Wise!$E$33/23</f>
        <v>186.95652173913044</v>
      </c>
      <c r="J19" s="16">
        <v>13</v>
      </c>
      <c r="K19" s="16">
        <v>15.652173913043478</v>
      </c>
      <c r="L19" s="16">
        <f t="shared" si="2"/>
        <v>1784.391304347826</v>
      </c>
      <c r="M19" s="1">
        <f t="shared" si="0"/>
        <v>37.5</v>
      </c>
      <c r="N19" s="18">
        <f>M19*Date_Wise!D$33</f>
        <v>1834.0958213256486</v>
      </c>
      <c r="O19" s="18">
        <f t="shared" si="5"/>
        <v>-49.70451697782255</v>
      </c>
      <c r="P19" s="18" t="str">
        <f t="shared" si="3"/>
        <v xml:space="preserve"> </v>
      </c>
      <c r="Q19" s="18">
        <f t="shared" si="4"/>
        <v>-49.70451697782255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2.5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L19">
        <v>1.5</v>
      </c>
      <c r="AM19">
        <v>2.5</v>
      </c>
      <c r="AN19">
        <v>1</v>
      </c>
      <c r="AO19">
        <v>1.5</v>
      </c>
      <c r="AP19">
        <v>1.5</v>
      </c>
      <c r="AQ19">
        <v>1.5</v>
      </c>
      <c r="AR19">
        <v>1.5</v>
      </c>
      <c r="AS19">
        <v>1.5</v>
      </c>
      <c r="AT19">
        <v>1.5</v>
      </c>
      <c r="AU19">
        <v>1.5</v>
      </c>
    </row>
    <row r="20" spans="1:47" x14ac:dyDescent="0.25">
      <c r="A20" s="1">
        <v>18</v>
      </c>
      <c r="B20" s="5" t="s">
        <v>17</v>
      </c>
      <c r="C20" s="1">
        <v>400</v>
      </c>
      <c r="G20" s="1">
        <f t="shared" si="1"/>
        <v>400</v>
      </c>
      <c r="H20" s="1">
        <v>200</v>
      </c>
      <c r="I20" s="16">
        <f>Date_Wise!$E$33/23</f>
        <v>186.95652173913044</v>
      </c>
      <c r="J20" s="16">
        <v>13</v>
      </c>
      <c r="K20" s="16"/>
      <c r="L20" s="16">
        <f t="shared" si="2"/>
        <v>4.3478260869562746E-2</v>
      </c>
      <c r="M20" s="1">
        <f t="shared" si="0"/>
        <v>0</v>
      </c>
      <c r="N20" s="18">
        <f>M20*Date_Wise!D$33</f>
        <v>0</v>
      </c>
      <c r="O20" s="18">
        <f t="shared" si="5"/>
        <v>4.3478260869562746E-2</v>
      </c>
      <c r="P20" s="18">
        <f t="shared" si="3"/>
        <v>4.3478260869562746E-2</v>
      </c>
      <c r="Q20" s="18" t="str">
        <f t="shared" si="4"/>
        <v xml:space="preserve"> </v>
      </c>
    </row>
    <row r="21" spans="1:47" x14ac:dyDescent="0.25">
      <c r="A21" s="1">
        <v>19</v>
      </c>
      <c r="B21" s="5" t="s">
        <v>18</v>
      </c>
      <c r="C21" s="1">
        <v>2000</v>
      </c>
      <c r="D21" s="1">
        <v>500</v>
      </c>
      <c r="E21" s="1">
        <v>200</v>
      </c>
      <c r="G21" s="1">
        <f t="shared" si="1"/>
        <v>2700</v>
      </c>
      <c r="H21" s="1">
        <v>200</v>
      </c>
      <c r="I21" s="16">
        <f>Date_Wise!$E$33/23</f>
        <v>186.95652173913044</v>
      </c>
      <c r="J21" s="16">
        <v>13</v>
      </c>
      <c r="K21" s="16">
        <v>15.652173913043478</v>
      </c>
      <c r="L21" s="16">
        <f t="shared" si="2"/>
        <v>2284.391304347826</v>
      </c>
      <c r="M21" s="1">
        <f t="shared" si="0"/>
        <v>47.5</v>
      </c>
      <c r="N21" s="18">
        <f>M21*Date_Wise!D$33</f>
        <v>2323.1880403458213</v>
      </c>
      <c r="O21" s="18">
        <f t="shared" si="5"/>
        <v>-38.796735997995256</v>
      </c>
      <c r="P21" s="18" t="str">
        <f t="shared" si="3"/>
        <v xml:space="preserve"> </v>
      </c>
      <c r="Q21" s="18">
        <f t="shared" si="4"/>
        <v>-38.796735997995256</v>
      </c>
      <c r="R21">
        <v>2.5</v>
      </c>
      <c r="S21">
        <v>2.5</v>
      </c>
      <c r="T21">
        <v>2.5</v>
      </c>
      <c r="U21">
        <v>2.5</v>
      </c>
      <c r="V21">
        <v>2.5</v>
      </c>
      <c r="W21">
        <v>2.5</v>
      </c>
      <c r="X21">
        <v>2.5</v>
      </c>
      <c r="Y21">
        <v>2.5</v>
      </c>
      <c r="Z21">
        <v>2.5</v>
      </c>
      <c r="AA21">
        <v>2.5</v>
      </c>
      <c r="AB21">
        <v>2.5</v>
      </c>
      <c r="AC21">
        <v>2.5</v>
      </c>
      <c r="AD21">
        <v>1</v>
      </c>
      <c r="AE21">
        <v>1</v>
      </c>
      <c r="AF21">
        <v>1</v>
      </c>
      <c r="AJ21">
        <v>1</v>
      </c>
      <c r="AK21">
        <v>1</v>
      </c>
      <c r="AL21">
        <v>1</v>
      </c>
      <c r="AM21">
        <v>2.5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2</v>
      </c>
    </row>
    <row r="22" spans="1:47" x14ac:dyDescent="0.25">
      <c r="A22" s="1">
        <v>20</v>
      </c>
      <c r="B22" s="5" t="s">
        <v>19</v>
      </c>
      <c r="C22" s="1">
        <v>1000</v>
      </c>
      <c r="D22" s="1">
        <v>500</v>
      </c>
      <c r="G22" s="1">
        <f t="shared" si="1"/>
        <v>1500</v>
      </c>
      <c r="H22" s="1">
        <v>200</v>
      </c>
      <c r="I22" s="16">
        <f>Date_Wise!$E$33/23</f>
        <v>186.95652173913044</v>
      </c>
      <c r="J22" s="16">
        <v>13</v>
      </c>
      <c r="K22" s="16">
        <v>15.652173913043478</v>
      </c>
      <c r="L22" s="16">
        <f t="shared" si="2"/>
        <v>1084.391304347826</v>
      </c>
      <c r="M22" s="1">
        <f t="shared" si="0"/>
        <v>32</v>
      </c>
      <c r="N22" s="18">
        <f>M22*Date_Wise!D$33</f>
        <v>1565.0951008645534</v>
      </c>
      <c r="O22" s="18">
        <f t="shared" si="5"/>
        <v>-480.70379651672738</v>
      </c>
      <c r="P22" s="18" t="str">
        <f t="shared" si="3"/>
        <v xml:space="preserve"> </v>
      </c>
      <c r="Q22" s="18">
        <f t="shared" si="4"/>
        <v>-480.70379651672738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2.5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2.5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</row>
    <row r="23" spans="1:47" x14ac:dyDescent="0.25">
      <c r="A23" s="1">
        <v>21</v>
      </c>
      <c r="B23" s="5" t="s">
        <v>20</v>
      </c>
      <c r="C23" s="1">
        <v>1000</v>
      </c>
      <c r="D23" s="1">
        <v>500</v>
      </c>
      <c r="E23" s="1">
        <v>400</v>
      </c>
      <c r="G23" s="1">
        <f t="shared" si="1"/>
        <v>1900</v>
      </c>
      <c r="H23" s="1">
        <v>200</v>
      </c>
      <c r="I23" s="16"/>
      <c r="J23" s="16">
        <v>13</v>
      </c>
      <c r="K23" s="16">
        <v>15.652173913043478</v>
      </c>
      <c r="L23" s="16">
        <f t="shared" si="2"/>
        <v>1671.3478260869565</v>
      </c>
      <c r="M23" s="1">
        <f t="shared" si="0"/>
        <v>37</v>
      </c>
      <c r="N23" s="18">
        <f>M23*Date_Wise!D$33</f>
        <v>1809.6412103746397</v>
      </c>
      <c r="O23" s="18">
        <f t="shared" si="5"/>
        <v>-138.29338428768324</v>
      </c>
      <c r="P23" s="18" t="str">
        <f t="shared" si="3"/>
        <v xml:space="preserve"> </v>
      </c>
      <c r="Q23" s="18">
        <f t="shared" si="4"/>
        <v>-138.29338428768324</v>
      </c>
      <c r="T23">
        <v>2</v>
      </c>
      <c r="U23">
        <v>2</v>
      </c>
      <c r="V23">
        <v>2</v>
      </c>
      <c r="W23">
        <v>2</v>
      </c>
      <c r="X23">
        <v>2</v>
      </c>
      <c r="Y23">
        <v>2.5</v>
      </c>
      <c r="Z23">
        <v>2</v>
      </c>
      <c r="AA23">
        <v>2</v>
      </c>
      <c r="AB23">
        <v>1</v>
      </c>
      <c r="AC23">
        <v>1</v>
      </c>
      <c r="AD23">
        <v>1</v>
      </c>
      <c r="AE23">
        <v>1</v>
      </c>
      <c r="AF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2.5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</row>
    <row r="24" spans="1:47" x14ac:dyDescent="0.25">
      <c r="A24" s="1">
        <v>22</v>
      </c>
      <c r="B24" s="5" t="s">
        <v>21</v>
      </c>
      <c r="C24" s="1">
        <v>3000</v>
      </c>
      <c r="D24" s="1">
        <v>500</v>
      </c>
      <c r="G24" s="1">
        <f t="shared" si="1"/>
        <v>3500</v>
      </c>
      <c r="H24" s="1">
        <v>200</v>
      </c>
      <c r="I24" s="16">
        <f>Date_Wise!$E$33/23</f>
        <v>186.95652173913044</v>
      </c>
      <c r="J24" s="16">
        <v>13</v>
      </c>
      <c r="K24" s="16">
        <v>15.652173913043478</v>
      </c>
      <c r="L24" s="16">
        <f t="shared" si="2"/>
        <v>3084.391304347826</v>
      </c>
      <c r="M24" s="1">
        <f t="shared" si="0"/>
        <v>52</v>
      </c>
      <c r="N24" s="18">
        <f>M24*Date_Wise!D$33</f>
        <v>2543.2795389048993</v>
      </c>
      <c r="O24" s="18">
        <f t="shared" si="5"/>
        <v>541.11176544292675</v>
      </c>
      <c r="P24" s="18">
        <f t="shared" si="3"/>
        <v>541.11176544292675</v>
      </c>
      <c r="Q24" s="18" t="str">
        <f t="shared" si="4"/>
        <v xml:space="preserve"> 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2.5</v>
      </c>
      <c r="Z24">
        <v>2</v>
      </c>
      <c r="AA24">
        <v>2</v>
      </c>
      <c r="AB24">
        <v>2</v>
      </c>
      <c r="AC24">
        <v>2</v>
      </c>
      <c r="AD24">
        <v>2</v>
      </c>
      <c r="AH24">
        <v>1</v>
      </c>
      <c r="AI24">
        <v>1</v>
      </c>
      <c r="AJ24">
        <v>2</v>
      </c>
      <c r="AK24">
        <v>2</v>
      </c>
      <c r="AL24">
        <v>2</v>
      </c>
      <c r="AM24">
        <v>2.5</v>
      </c>
      <c r="AN24">
        <v>2</v>
      </c>
      <c r="AO24">
        <v>2</v>
      </c>
      <c r="AP24">
        <v>2</v>
      </c>
      <c r="AQ24">
        <v>2</v>
      </c>
      <c r="AR24">
        <v>1</v>
      </c>
      <c r="AS24">
        <v>2</v>
      </c>
      <c r="AT24">
        <v>2</v>
      </c>
      <c r="AU24">
        <v>2</v>
      </c>
    </row>
    <row r="25" spans="1:47" x14ac:dyDescent="0.25">
      <c r="A25" s="1">
        <v>23</v>
      </c>
      <c r="B25" s="5" t="s">
        <v>22</v>
      </c>
      <c r="C25" s="1">
        <v>1500</v>
      </c>
      <c r="D25" s="1">
        <v>500</v>
      </c>
      <c r="G25" s="1">
        <f t="shared" si="1"/>
        <v>2000</v>
      </c>
      <c r="H25" s="1">
        <v>200</v>
      </c>
      <c r="I25" s="16">
        <f>Date_Wise!$E$33/23</f>
        <v>186.95652173913044</v>
      </c>
      <c r="J25" s="16">
        <v>13</v>
      </c>
      <c r="K25" s="16">
        <v>15.652173913043478</v>
      </c>
      <c r="L25" s="16">
        <f t="shared" si="2"/>
        <v>1584.391304347826</v>
      </c>
      <c r="M25" s="1">
        <f t="shared" si="0"/>
        <v>26.5</v>
      </c>
      <c r="N25" s="18">
        <f>M25*Date_Wise!D$33</f>
        <v>1296.0943804034582</v>
      </c>
      <c r="O25" s="18">
        <f t="shared" si="5"/>
        <v>288.29692394436779</v>
      </c>
      <c r="P25" s="18">
        <f t="shared" si="3"/>
        <v>288.29692394436779</v>
      </c>
      <c r="Q25" s="18" t="str">
        <f t="shared" si="4"/>
        <v xml:space="preserve"> 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2.5</v>
      </c>
      <c r="Z25">
        <v>1</v>
      </c>
      <c r="AA25">
        <v>1</v>
      </c>
      <c r="AB25">
        <v>1</v>
      </c>
      <c r="AC25">
        <v>1</v>
      </c>
      <c r="AD25">
        <v>1</v>
      </c>
      <c r="AJ25">
        <v>1</v>
      </c>
      <c r="AK25">
        <v>1</v>
      </c>
      <c r="AL25">
        <v>1</v>
      </c>
      <c r="AM25">
        <v>2.5</v>
      </c>
      <c r="AN25">
        <v>1</v>
      </c>
      <c r="AO25">
        <v>1</v>
      </c>
      <c r="AP25">
        <v>1</v>
      </c>
    </row>
    <row r="26" spans="1:47" x14ac:dyDescent="0.25">
      <c r="E26" s="6" t="s">
        <v>31</v>
      </c>
      <c r="F26" s="6"/>
      <c r="G26" s="6">
        <f>SUM(G3:G25)</f>
        <v>43700</v>
      </c>
      <c r="M26" s="1">
        <f>SUM(M3:M25)</f>
        <v>694</v>
      </c>
    </row>
    <row r="27" spans="1:47" x14ac:dyDescent="0.25">
      <c r="Q27" s="18">
        <f>5457-SUM(P3:P25)+3227-300</f>
        <v>4715.7869001378294</v>
      </c>
    </row>
  </sheetData>
  <mergeCells count="2">
    <mergeCell ref="H1:T1"/>
    <mergeCell ref="C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42D9-DD55-4634-A5A7-E8B4049A27EA}">
  <dimension ref="A1:L33"/>
  <sheetViews>
    <sheetView tabSelected="1" workbookViewId="0">
      <selection activeCell="E33" sqref="E33"/>
    </sheetView>
  </sheetViews>
  <sheetFormatPr defaultRowHeight="15" x14ac:dyDescent="0.25"/>
  <cols>
    <col min="1" max="1" width="10.42578125" style="13" bestFit="1" customWidth="1"/>
    <col min="4" max="4" width="9.5703125" bestFit="1" customWidth="1"/>
    <col min="5" max="5" width="14" bestFit="1" customWidth="1"/>
    <col min="7" max="7" width="13.5703125" bestFit="1" customWidth="1"/>
    <col min="8" max="8" width="18.7109375" bestFit="1" customWidth="1"/>
    <col min="12" max="12" width="9.140625" style="1"/>
  </cols>
  <sheetData>
    <row r="1" spans="1:12" x14ac:dyDescent="0.25">
      <c r="A1" s="12" t="s">
        <v>32</v>
      </c>
      <c r="B1" s="3" t="s">
        <v>33</v>
      </c>
      <c r="C1" s="3" t="s">
        <v>34</v>
      </c>
      <c r="D1" s="3" t="s">
        <v>35</v>
      </c>
      <c r="E1" s="3" t="s">
        <v>39</v>
      </c>
      <c r="F1" s="3"/>
      <c r="G1" s="3" t="s">
        <v>36</v>
      </c>
      <c r="H1" s="3" t="s">
        <v>37</v>
      </c>
      <c r="L1" s="6" t="s">
        <v>40</v>
      </c>
    </row>
    <row r="2" spans="1:12" x14ac:dyDescent="0.25">
      <c r="A2" s="13">
        <v>45597</v>
      </c>
      <c r="B2">
        <f>1367+55</f>
        <v>1422</v>
      </c>
      <c r="C2" s="7">
        <v>27.5</v>
      </c>
      <c r="D2" s="7">
        <f>B2/C2</f>
        <v>51.709090909090911</v>
      </c>
      <c r="G2" s="4">
        <f>B33+E33</f>
        <v>38243</v>
      </c>
      <c r="H2" s="4">
        <f>Name_wise!G26-Date_Wise!G2</f>
        <v>5457</v>
      </c>
      <c r="L2" s="1">
        <v>1</v>
      </c>
    </row>
    <row r="3" spans="1:12" x14ac:dyDescent="0.25">
      <c r="A3" s="13">
        <v>45598</v>
      </c>
      <c r="B3">
        <v>1278</v>
      </c>
      <c r="C3" s="7">
        <v>30.5</v>
      </c>
      <c r="D3" s="7">
        <f t="shared" ref="D3:D31" si="0">B3/C3</f>
        <v>41.901639344262293</v>
      </c>
      <c r="L3" s="1">
        <v>2</v>
      </c>
    </row>
    <row r="4" spans="1:12" x14ac:dyDescent="0.25">
      <c r="A4" s="13">
        <v>45599</v>
      </c>
      <c r="B4">
        <v>1295</v>
      </c>
      <c r="C4" s="7">
        <v>29</v>
      </c>
      <c r="D4" s="7">
        <f t="shared" si="0"/>
        <v>44.655172413793103</v>
      </c>
      <c r="E4">
        <v>2000</v>
      </c>
      <c r="L4" s="1">
        <v>3</v>
      </c>
    </row>
    <row r="5" spans="1:12" x14ac:dyDescent="0.25">
      <c r="A5" s="13">
        <v>45600</v>
      </c>
      <c r="B5">
        <v>1726</v>
      </c>
      <c r="C5" s="7">
        <v>44.5</v>
      </c>
      <c r="D5" s="7">
        <f t="shared" si="0"/>
        <v>38.786516853932582</v>
      </c>
      <c r="L5" s="1">
        <v>4</v>
      </c>
    </row>
    <row r="6" spans="1:12" x14ac:dyDescent="0.25">
      <c r="A6" s="13">
        <v>45601</v>
      </c>
      <c r="B6">
        <v>1609</v>
      </c>
      <c r="C6" s="7">
        <v>40.5</v>
      </c>
      <c r="D6" s="7">
        <f t="shared" si="0"/>
        <v>39.728395061728392</v>
      </c>
      <c r="L6" s="1">
        <v>5</v>
      </c>
    </row>
    <row r="7" spans="1:12" x14ac:dyDescent="0.25">
      <c r="A7" s="13">
        <v>45602</v>
      </c>
      <c r="B7">
        <v>1436</v>
      </c>
      <c r="C7" s="7">
        <v>37.5</v>
      </c>
      <c r="D7" s="7">
        <f t="shared" si="0"/>
        <v>38.293333333333337</v>
      </c>
      <c r="L7" s="1">
        <v>6</v>
      </c>
    </row>
    <row r="8" spans="1:12" x14ac:dyDescent="0.25">
      <c r="A8" s="13">
        <v>45603</v>
      </c>
      <c r="B8">
        <v>1357</v>
      </c>
      <c r="C8" s="7">
        <v>35</v>
      </c>
      <c r="D8" s="7">
        <f t="shared" si="0"/>
        <v>38.771428571428572</v>
      </c>
      <c r="L8" s="1">
        <v>7</v>
      </c>
    </row>
    <row r="9" spans="1:12" x14ac:dyDescent="0.25">
      <c r="A9" s="13">
        <v>45604</v>
      </c>
      <c r="B9">
        <v>2636</v>
      </c>
      <c r="C9" s="7">
        <v>50</v>
      </c>
      <c r="D9" s="7">
        <f t="shared" si="0"/>
        <v>52.72</v>
      </c>
      <c r="L9" s="1">
        <v>8</v>
      </c>
    </row>
    <row r="10" spans="1:12" x14ac:dyDescent="0.25">
      <c r="A10" s="13">
        <v>45605</v>
      </c>
      <c r="B10">
        <v>1396</v>
      </c>
      <c r="C10" s="7">
        <v>33.5</v>
      </c>
      <c r="D10" s="7">
        <f t="shared" si="0"/>
        <v>41.671641791044777</v>
      </c>
      <c r="L10" s="1">
        <v>9</v>
      </c>
    </row>
    <row r="11" spans="1:12" x14ac:dyDescent="0.25">
      <c r="A11" s="13">
        <v>45606</v>
      </c>
      <c r="B11">
        <v>1259</v>
      </c>
      <c r="C11" s="7">
        <v>35</v>
      </c>
      <c r="D11" s="7">
        <f t="shared" si="0"/>
        <v>35.971428571428568</v>
      </c>
      <c r="L11" s="1">
        <v>10</v>
      </c>
    </row>
    <row r="12" spans="1:12" x14ac:dyDescent="0.25">
      <c r="A12" s="13">
        <v>45607</v>
      </c>
      <c r="B12">
        <v>1353</v>
      </c>
      <c r="C12" s="7">
        <v>33</v>
      </c>
      <c r="D12" s="7">
        <f t="shared" si="0"/>
        <v>41</v>
      </c>
      <c r="E12">
        <v>300</v>
      </c>
      <c r="L12" s="1">
        <v>11</v>
      </c>
    </row>
    <row r="13" spans="1:12" x14ac:dyDescent="0.25">
      <c r="A13" s="13">
        <v>45608</v>
      </c>
      <c r="B13">
        <v>1236</v>
      </c>
      <c r="C13" s="7">
        <v>29.5</v>
      </c>
      <c r="D13" s="7">
        <f t="shared" si="0"/>
        <v>41.898305084745765</v>
      </c>
      <c r="E13">
        <v>1500</v>
      </c>
      <c r="L13" s="1">
        <v>12</v>
      </c>
    </row>
    <row r="14" spans="1:12" x14ac:dyDescent="0.25">
      <c r="A14" s="13">
        <v>45609</v>
      </c>
      <c r="B14">
        <v>880</v>
      </c>
      <c r="C14" s="7">
        <v>23.5</v>
      </c>
      <c r="D14" s="7">
        <f t="shared" si="0"/>
        <v>37.446808510638299</v>
      </c>
      <c r="L14" s="1">
        <v>13</v>
      </c>
    </row>
    <row r="15" spans="1:12" x14ac:dyDescent="0.25">
      <c r="A15" s="13">
        <v>45610</v>
      </c>
      <c r="B15">
        <v>825</v>
      </c>
      <c r="C15" s="7">
        <v>15</v>
      </c>
      <c r="D15" s="7">
        <f t="shared" si="0"/>
        <v>55</v>
      </c>
      <c r="L15" s="1">
        <v>14</v>
      </c>
    </row>
    <row r="16" spans="1:12" x14ac:dyDescent="0.25">
      <c r="A16" s="13">
        <v>45611</v>
      </c>
      <c r="B16">
        <v>379</v>
      </c>
      <c r="C16" s="7">
        <v>8</v>
      </c>
      <c r="D16" s="7">
        <f t="shared" si="0"/>
        <v>47.375</v>
      </c>
      <c r="L16" s="1">
        <v>15</v>
      </c>
    </row>
    <row r="17" spans="1:12" x14ac:dyDescent="0.25">
      <c r="A17" s="13">
        <v>45612</v>
      </c>
      <c r="C17" s="7"/>
      <c r="D17" s="7"/>
      <c r="L17" s="1">
        <v>16</v>
      </c>
    </row>
    <row r="18" spans="1:12" x14ac:dyDescent="0.25">
      <c r="A18" s="13">
        <v>45613</v>
      </c>
      <c r="B18">
        <v>738</v>
      </c>
      <c r="C18" s="7">
        <v>21</v>
      </c>
      <c r="D18" s="7">
        <f t="shared" si="0"/>
        <v>35.142857142857146</v>
      </c>
      <c r="L18" s="1">
        <v>17</v>
      </c>
    </row>
    <row r="19" spans="1:12" x14ac:dyDescent="0.25">
      <c r="A19" s="13">
        <v>45614</v>
      </c>
      <c r="B19">
        <v>750</v>
      </c>
      <c r="C19" s="7">
        <v>16.5</v>
      </c>
      <c r="D19" s="7">
        <f t="shared" si="0"/>
        <v>45.454545454545453</v>
      </c>
      <c r="L19" s="1">
        <v>18</v>
      </c>
    </row>
    <row r="20" spans="1:12" x14ac:dyDescent="0.25">
      <c r="A20" s="13">
        <v>45615</v>
      </c>
      <c r="B20">
        <v>895</v>
      </c>
      <c r="C20" s="7">
        <v>21.5</v>
      </c>
      <c r="D20" s="7">
        <f t="shared" si="0"/>
        <v>41.627906976744185</v>
      </c>
      <c r="L20" s="1">
        <v>19</v>
      </c>
    </row>
    <row r="21" spans="1:12" x14ac:dyDescent="0.25">
      <c r="A21" s="13">
        <v>45616</v>
      </c>
      <c r="B21">
        <v>1179</v>
      </c>
      <c r="C21" s="7">
        <v>25</v>
      </c>
      <c r="D21" s="7">
        <f t="shared" si="0"/>
        <v>47.16</v>
      </c>
      <c r="L21" s="1">
        <v>20</v>
      </c>
    </row>
    <row r="22" spans="1:12" x14ac:dyDescent="0.25">
      <c r="A22" s="13">
        <v>45617</v>
      </c>
      <c r="B22">
        <v>1293</v>
      </c>
      <c r="C22" s="7">
        <v>23</v>
      </c>
      <c r="D22" s="7">
        <f t="shared" si="0"/>
        <v>56.217391304347828</v>
      </c>
      <c r="L22" s="1">
        <v>21</v>
      </c>
    </row>
    <row r="23" spans="1:12" x14ac:dyDescent="0.25">
      <c r="A23" s="13">
        <v>45618</v>
      </c>
      <c r="B23">
        <v>1894</v>
      </c>
      <c r="C23" s="7">
        <v>32.5</v>
      </c>
      <c r="D23" s="7">
        <f t="shared" si="0"/>
        <v>58.276923076923076</v>
      </c>
      <c r="L23" s="1">
        <v>22</v>
      </c>
    </row>
    <row r="24" spans="1:12" x14ac:dyDescent="0.25">
      <c r="A24" s="13">
        <v>45619</v>
      </c>
      <c r="B24">
        <v>660</v>
      </c>
      <c r="C24" s="7">
        <v>15</v>
      </c>
      <c r="D24" s="7">
        <f t="shared" si="0"/>
        <v>44</v>
      </c>
      <c r="L24" s="1">
        <v>23</v>
      </c>
    </row>
    <row r="25" spans="1:12" x14ac:dyDescent="0.25">
      <c r="A25" s="13">
        <v>45620</v>
      </c>
      <c r="B25">
        <v>1011</v>
      </c>
      <c r="C25" s="7">
        <v>22.5</v>
      </c>
      <c r="D25" s="7">
        <f t="shared" si="0"/>
        <v>44.93333333333333</v>
      </c>
    </row>
    <row r="26" spans="1:12" x14ac:dyDescent="0.25">
      <c r="A26" s="13">
        <v>45621</v>
      </c>
      <c r="B26">
        <v>857</v>
      </c>
      <c r="C26" s="7">
        <v>20.5</v>
      </c>
      <c r="D26" s="7">
        <f t="shared" si="0"/>
        <v>41.804878048780488</v>
      </c>
    </row>
    <row r="27" spans="1:12" x14ac:dyDescent="0.25">
      <c r="A27" s="13">
        <v>45622</v>
      </c>
      <c r="B27">
        <v>935</v>
      </c>
      <c r="C27" s="7">
        <v>20</v>
      </c>
      <c r="D27" s="7">
        <f t="shared" si="0"/>
        <v>46.75</v>
      </c>
    </row>
    <row r="28" spans="1:12" x14ac:dyDescent="0.25">
      <c r="A28" s="13">
        <v>45623</v>
      </c>
      <c r="B28">
        <v>966</v>
      </c>
      <c r="C28" s="7">
        <v>21</v>
      </c>
      <c r="D28" s="7">
        <f t="shared" si="0"/>
        <v>46</v>
      </c>
      <c r="E28">
        <v>500</v>
      </c>
    </row>
    <row r="29" spans="1:12" x14ac:dyDescent="0.25">
      <c r="A29" s="13">
        <v>45624</v>
      </c>
      <c r="B29">
        <v>750</v>
      </c>
      <c r="C29" s="7">
        <v>18.5</v>
      </c>
      <c r="D29" s="7">
        <f t="shared" si="0"/>
        <v>40.54054054054054</v>
      </c>
    </row>
    <row r="30" spans="1:12" x14ac:dyDescent="0.25">
      <c r="A30" s="13">
        <v>45625</v>
      </c>
      <c r="B30">
        <v>960</v>
      </c>
      <c r="C30" s="7">
        <v>22</v>
      </c>
      <c r="D30" s="7">
        <f t="shared" si="0"/>
        <v>43.636363636363633</v>
      </c>
    </row>
    <row r="31" spans="1:12" x14ac:dyDescent="0.25">
      <c r="A31" s="13">
        <v>45626</v>
      </c>
      <c r="B31">
        <v>968</v>
      </c>
      <c r="C31" s="7">
        <v>22.5</v>
      </c>
      <c r="D31" s="7">
        <f t="shared" si="0"/>
        <v>43.022222222222226</v>
      </c>
    </row>
    <row r="32" spans="1:12" x14ac:dyDescent="0.25">
      <c r="C32" s="7"/>
      <c r="D32" s="7"/>
    </row>
    <row r="33" spans="1:5" x14ac:dyDescent="0.25">
      <c r="A33" s="12" t="s">
        <v>29</v>
      </c>
      <c r="B33" s="4">
        <f>SUM(B2:B31)</f>
        <v>33943</v>
      </c>
      <c r="C33" s="8">
        <v>694</v>
      </c>
      <c r="D33" s="17">
        <f>B33/C33</f>
        <v>48.909221902017293</v>
      </c>
      <c r="E33" s="4">
        <f>SUM(E2:E31)</f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Name_wise</vt:lpstr>
      <vt:lpstr>Date_Wise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MAHMUDUL HASAN</dc:creator>
  <cp:lastModifiedBy>KAZI MAHMUDUL HASAN</cp:lastModifiedBy>
  <dcterms:created xsi:type="dcterms:W3CDTF">2024-11-22T17:28:05Z</dcterms:created>
  <dcterms:modified xsi:type="dcterms:W3CDTF">2024-12-04T13:21:45Z</dcterms:modified>
</cp:coreProperties>
</file>